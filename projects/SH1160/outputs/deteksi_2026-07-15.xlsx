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teksi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34" customWidth="1"/>
    <col min="2" max="2" width="60" customWidth="1"/>
  </cols>
  <sheetData>
    <row r="1">
      <c r="A1" t="inlineStr">
        <is>
          <t xml:space="preserve">ID</t>
        </is>
      </c>
      <c r="B1" t="inlineStr">
        <is>
          <t xml:space="preserve">Gambar (link)</t>
        </is>
      </c>
      <c r="C1" t="inlineStr">
        <is>
          <t xml:space="preserve">Verdict</t>
        </is>
      </c>
      <c r="D1" t="inlineStr">
        <is>
          <t xml:space="preserve">Kotak 1 Panjang (mm)</t>
        </is>
      </c>
      <c r="E1" t="inlineStr">
        <is>
          <t xml:space="preserve">Kotak 1 Lebar (mm)</t>
        </is>
      </c>
      <c r="F1" t="inlineStr">
        <is>
          <t xml:space="preserve">Kotak 2 Panjang (mm)</t>
        </is>
      </c>
      <c r="G1" t="inlineStr">
        <is>
          <t xml:space="preserve">Kotak 2 Lebar (mm)</t>
        </is>
      </c>
      <c r="H1" t="inlineStr">
        <is>
          <t xml:space="preserve">Kotak 3 Panjang (mm)</t>
        </is>
      </c>
      <c r="I1" t="inlineStr">
        <is>
          <t xml:space="preserve">Kotak 3 Lebar (mm)</t>
        </is>
      </c>
      <c r="J1" t="inlineStr">
        <is>
          <t xml:space="preserve">Kotak 4 Panjang (mm)</t>
        </is>
      </c>
      <c r="K1" t="inlineStr">
        <is>
          <t xml:space="preserve">Kotak 4 Lebar (mm)</t>
        </is>
      </c>
      <c r="L1" t="inlineStr">
        <is>
          <t xml:space="preserve">Kotak 5 Panjang (mm)</t>
        </is>
      </c>
      <c r="M1" t="inlineStr">
        <is>
          <t xml:space="preserve">Kotak 5 Lebar (mm)</t>
        </is>
      </c>
      <c r="N1" t="inlineStr">
        <is>
          <t xml:space="preserve">Kotak 6 Panjang (mm)</t>
        </is>
      </c>
      <c r="O1" t="inlineStr">
        <is>
          <t xml:space="preserve">Kotak 6 Lebar (mm)</t>
        </is>
      </c>
      <c r="P1" t="inlineStr">
        <is>
          <t xml:space="preserve">Kotak 7 Panjang (mm)</t>
        </is>
      </c>
      <c r="Q1" t="inlineStr">
        <is>
          <t xml:space="preserve">Kotak 7 Lebar (mm)</t>
        </is>
      </c>
      <c r="R1" t="inlineStr">
        <is>
          <t xml:space="preserve">Kotak 8 Panjang (mm)</t>
        </is>
      </c>
      <c r="S1" t="inlineStr">
        <is>
          <t xml:space="preserve">Kotak 8 Lebar (mm)</t>
        </is>
      </c>
      <c r="T1" t="inlineStr">
        <is>
          <t xml:space="preserve">Lubang 1 Ø (mm)</t>
        </is>
      </c>
      <c r="U1" t="inlineStr">
        <is>
          <t xml:space="preserve">Lubang 2 Ø (mm)</t>
        </is>
      </c>
      <c r="V1" t="inlineStr">
        <is>
          <t xml:space="preserve">Lubang 3 Ø (mm)</t>
        </is>
      </c>
      <c r="W1" t="inlineStr">
        <is>
          <t xml:space="preserve">Lubang 4 Ø (mm)</t>
        </is>
      </c>
      <c r="X1" t="inlineStr">
        <is>
          <t xml:space="preserve">Lubang 5 Ø (mm)</t>
        </is>
      </c>
      <c r="Y1" t="inlineStr">
        <is>
          <t xml:space="preserve">Lubang 6 Ø (mm)</t>
        </is>
      </c>
      <c r="Z1" t="inlineStr">
        <is>
          <t xml:space="preserve">Waktu Deteksi (ms)</t>
        </is>
      </c>
    </row>
    <row r="2">
      <c r="A2" t="inlineStr">
        <is>
          <t xml:space="preserve">010-0836</t>
        </is>
      </c>
      <c r="B2" t="str">
        <f>HYPERLINK("C:\Users\Paul\Documents\TA 36\App\AutomaEye\projects\SH1160\outputs\2026-07-15\010-0836.jpg","010-0836.jpg")</f>
      </c>
      <c r="C2" t="inlineStr">
        <is>
          <t xml:space="preserve">NG</t>
        </is>
      </c>
      <c r="D2">
        <v>15.4</v>
      </c>
      <c r="E2">
        <v>6.67</v>
      </c>
      <c r="F2"/>
      <c r="G2"/>
      <c r="H2">
        <v>14.15</v>
      </c>
      <c r="I2">
        <v>6.67</v>
      </c>
      <c r="J2">
        <v>15.57</v>
      </c>
      <c r="K2">
        <v>7.03</v>
      </c>
      <c r="L2">
        <v>12.01</v>
      </c>
      <c r="M2">
        <v>6.67</v>
      </c>
      <c r="N2">
        <v>14.15</v>
      </c>
      <c r="O2">
        <v>6.67</v>
      </c>
      <c r="P2"/>
      <c r="Q2"/>
      <c r="R2">
        <v>13.55</v>
      </c>
      <c r="S2">
        <v>6.52</v>
      </c>
      <c r="T2">
        <v>2.41</v>
      </c>
      <c r="U2">
        <v>2.53</v>
      </c>
      <c r="V2">
        <v>2.14</v>
      </c>
      <c r="W2">
        <v>2.44</v>
      </c>
      <c r="X2">
        <v>2.49</v>
      </c>
      <c r="Y2">
        <v>2.33</v>
      </c>
      <c r="Z2">
        <v>974</v>
      </c>
    </row>
    <row r="3">
      <c r="A3" t="inlineStr">
        <is>
          <t xml:space="preserve">015-0836</t>
        </is>
      </c>
      <c r="B3" t="str">
        <f>HYPERLINK("C:\Users\Paul\Documents\TA 36\App\AutomaEye\projects\SH1160\outputs\2026-07-15\015-0836.jpg","015-0836.jpg")</f>
      </c>
      <c r="C3" t="inlineStr">
        <is>
          <t xml:space="preserve">NG</t>
        </is>
      </c>
      <c r="D3">
        <v>12.37</v>
      </c>
      <c r="E3">
        <v>6.67</v>
      </c>
      <c r="F3">
        <v>12.37</v>
      </c>
      <c r="G3">
        <v>6.59</v>
      </c>
      <c r="H3">
        <v>12.37</v>
      </c>
      <c r="I3">
        <v>6.67</v>
      </c>
      <c r="J3">
        <v>12.37</v>
      </c>
      <c r="K3">
        <v>6.67</v>
      </c>
      <c r="L3"/>
      <c r="M3"/>
      <c r="N3">
        <v>15.22</v>
      </c>
      <c r="O3">
        <v>7.03</v>
      </c>
      <c r="P3">
        <v>15.22</v>
      </c>
      <c r="Q3">
        <v>7.03</v>
      </c>
      <c r="R3">
        <v>14.51</v>
      </c>
      <c r="S3">
        <v>6.32</v>
      </c>
      <c r="T3">
        <v>2.41</v>
      </c>
      <c r="U3">
        <v>2.51</v>
      </c>
      <c r="V3">
        <v>2.33</v>
      </c>
      <c r="W3">
        <v>2.56</v>
      </c>
      <c r="X3">
        <v>2.57</v>
      </c>
      <c r="Y3">
        <v>2.33</v>
      </c>
      <c r="Z3">
        <v>656</v>
      </c>
    </row>
    <row r="4">
      <c r="A4" t="inlineStr">
        <is>
          <t xml:space="preserve">017-0837</t>
        </is>
      </c>
      <c r="B4" t="str">
        <f>HYPERLINK("C:\Users\Paul\Documents\TA 36\App\AutomaEye\projects\SH1160\outputs\2026-07-15\017-0837.jpg","017-0837.jpg")</f>
      </c>
      <c r="C4" t="inlineStr">
        <is>
          <t xml:space="preserve">NG</t>
        </is>
      </c>
      <c r="D4">
        <v>13.79</v>
      </c>
      <c r="E4">
        <v>6.32</v>
      </c>
      <c r="F4">
        <v>15.22</v>
      </c>
      <c r="G4">
        <v>6.59</v>
      </c>
      <c r="H4">
        <v>13.02</v>
      </c>
      <c r="I4">
        <v>6.73</v>
      </c>
      <c r="J4"/>
      <c r="K4"/>
      <c r="L4">
        <v>14.86</v>
      </c>
      <c r="M4">
        <v>6.67</v>
      </c>
      <c r="N4">
        <v>14.86</v>
      </c>
      <c r="O4">
        <v>7.03</v>
      </c>
      <c r="P4">
        <v>14.15</v>
      </c>
      <c r="Q4">
        <v>6.67</v>
      </c>
      <c r="R4">
        <v>13.08</v>
      </c>
      <c r="S4">
        <v>6.67</v>
      </c>
      <c r="T4">
        <v>2.27</v>
      </c>
      <c r="U4">
        <v>2.48</v>
      </c>
      <c r="V4">
        <v>2.33</v>
      </c>
      <c r="W4">
        <v>2.34</v>
      </c>
      <c r="X4">
        <v>2.43</v>
      </c>
      <c r="Y4">
        <v>2.32</v>
      </c>
      <c r="Z4">
        <v>699</v>
      </c>
    </row>
    <row r="5">
      <c r="A5" t="inlineStr">
        <is>
          <t xml:space="preserve">018-0837</t>
        </is>
      </c>
      <c r="B5" t="str">
        <f>HYPERLINK("C:\Users\Paul\Documents\TA 36\App\AutomaEye\projects\SH1160\outputs\2026-07-15\018-0837.jpg","018-0837.jpg")</f>
      </c>
      <c r="C5" t="inlineStr">
        <is>
          <t xml:space="preserve">NG</t>
        </is>
      </c>
      <c r="D5">
        <v>14.45</v>
      </c>
      <c r="E5">
        <v>6.78</v>
      </c>
      <c r="F5">
        <v>14.15</v>
      </c>
      <c r="G5">
        <v>6.97</v>
      </c>
      <c r="H5"/>
      <c r="I5"/>
      <c r="J5"/>
      <c r="K5"/>
      <c r="L5"/>
      <c r="M5"/>
      <c r="N5">
        <v>14.86</v>
      </c>
      <c r="O5">
        <v>7.74</v>
      </c>
      <c r="P5">
        <v>12.01</v>
      </c>
      <c r="Q5">
        <v>7.03</v>
      </c>
      <c r="R5">
        <v>14.17</v>
      </c>
      <c r="S5">
        <v>6.67</v>
      </c>
      <c r="T5">
        <v>2.33</v>
      </c>
      <c r="U5">
        <v>2.3</v>
      </c>
      <c r="V5">
        <v>2.27</v>
      </c>
      <c r="W5">
        <v>2.33</v>
      </c>
      <c r="X5">
        <v>2.49</v>
      </c>
      <c r="Y5">
        <v>2.27</v>
      </c>
      <c r="Z5">
        <v>772</v>
      </c>
    </row>
    <row r="6">
      <c r="A6" t="inlineStr">
        <is>
          <t xml:space="preserve">019-0837</t>
        </is>
      </c>
      <c r="B6" t="str">
        <f>HYPERLINK("C:\Users\Paul\Documents\TA 36\App\AutomaEye\projects\SH1160\outputs\2026-07-15\019-0837.jpg","019-0837.jpg")</f>
      </c>
      <c r="C6" t="inlineStr">
        <is>
          <t xml:space="preserve">NG</t>
        </is>
      </c>
      <c r="D6">
        <v>12.73</v>
      </c>
      <c r="E6">
        <v>6.67</v>
      </c>
      <c r="F6">
        <v>12.37</v>
      </c>
      <c r="G6">
        <v>6.67</v>
      </c>
      <c r="H6">
        <v>12.01</v>
      </c>
      <c r="I6">
        <v>6.67</v>
      </c>
      <c r="J6"/>
      <c r="K6"/>
      <c r="L6"/>
      <c r="M6"/>
      <c r="N6">
        <v>13.79</v>
      </c>
      <c r="O6">
        <v>7.03</v>
      </c>
      <c r="P6">
        <v>15.22</v>
      </c>
      <c r="Q6">
        <v>6.67</v>
      </c>
      <c r="R6">
        <v>14.15</v>
      </c>
      <c r="S6">
        <v>6.67</v>
      </c>
      <c r="T6">
        <v>2.4</v>
      </c>
      <c r="U6">
        <v>2.35</v>
      </c>
      <c r="V6">
        <v>2.14</v>
      </c>
      <c r="W6">
        <v>2.39</v>
      </c>
      <c r="X6">
        <v>2.44</v>
      </c>
      <c r="Y6">
        <v>2.45</v>
      </c>
      <c r="Z6">
        <v>707</v>
      </c>
    </row>
    <row r="7">
      <c r="A7" t="inlineStr">
        <is>
          <t xml:space="preserve">025-0839</t>
        </is>
      </c>
      <c r="B7" t="str">
        <f>HYPERLINK("C:\Users\Paul\Documents\TA 36\App\AutomaEye\projects\SH1160\outputs\2026-07-15\025-0839.jpg","025-0839.jpg")</f>
      </c>
      <c r="C7" t="inlineStr">
        <is>
          <t xml:space="preserve">NG</t>
        </is>
      </c>
      <c r="D7">
        <v>13.79</v>
      </c>
      <c r="E7">
        <v>7.03</v>
      </c>
      <c r="F7">
        <v>13.46</v>
      </c>
      <c r="G7">
        <v>6.76</v>
      </c>
      <c r="H7">
        <v>12.37</v>
      </c>
      <c r="I7">
        <v>7.03</v>
      </c>
      <c r="J7"/>
      <c r="K7"/>
      <c r="L7"/>
      <c r="M7"/>
      <c r="N7">
        <v>13.05</v>
      </c>
      <c r="O7">
        <v>6.91</v>
      </c>
      <c r="P7">
        <v>15.4</v>
      </c>
      <c r="Q7">
        <v>3.52</v>
      </c>
      <c r="R7">
        <v>12.46</v>
      </c>
      <c r="S7">
        <v>6.84</v>
      </c>
      <c r="T7">
        <v>2.27</v>
      </c>
      <c r="U7">
        <v>2.41</v>
      </c>
      <c r="V7">
        <v>2.12</v>
      </c>
      <c r="W7">
        <v>2.2</v>
      </c>
      <c r="X7">
        <v>2.27</v>
      </c>
      <c r="Y7">
        <v>2.24</v>
      </c>
      <c r="Z7">
        <v>892</v>
      </c>
    </row>
    <row r="8">
      <c r="A8" t="inlineStr">
        <is>
          <t xml:space="preserve">029-0842</t>
        </is>
      </c>
      <c r="B8" t="str">
        <f>HYPERLINK("C:\Users\Paul\Documents\TA 36\App\AutomaEye\projects\SH1160\outputs\2026-07-15\029-0842.jpg","029-0842.jpg")</f>
      </c>
      <c r="C8" t="inlineStr">
        <is>
          <t xml:space="preserve">NG</t>
        </is>
      </c>
      <c r="D8">
        <v>14.62</v>
      </c>
      <c r="E8">
        <v>6</v>
      </c>
      <c r="F8">
        <v>14.51</v>
      </c>
      <c r="G8">
        <v>6.32</v>
      </c>
      <c r="H8">
        <v>12.99</v>
      </c>
      <c r="I8">
        <v>6.67</v>
      </c>
      <c r="J8">
        <v>12.01</v>
      </c>
      <c r="K8">
        <v>6.67</v>
      </c>
      <c r="L8">
        <v>14.86</v>
      </c>
      <c r="M8">
        <v>6.32</v>
      </c>
      <c r="N8">
        <v>14.86</v>
      </c>
      <c r="O8">
        <v>6.32</v>
      </c>
      <c r="P8">
        <v>13.79</v>
      </c>
      <c r="Q8">
        <v>6.67</v>
      </c>
      <c r="R8">
        <v>13.79</v>
      </c>
      <c r="S8">
        <v>6.32</v>
      </c>
      <c r="T8">
        <v>2.43</v>
      </c>
      <c r="U8">
        <v>2.57</v>
      </c>
      <c r="V8">
        <v>2.14</v>
      </c>
      <c r="W8">
        <v>2.48</v>
      </c>
      <c r="X8">
        <v>2.66</v>
      </c>
      <c r="Y8">
        <v>2.4</v>
      </c>
      <c r="Z8">
        <v>739</v>
      </c>
    </row>
    <row r="9">
      <c r="A9" t="inlineStr">
        <is>
          <t xml:space="preserve">030-0842</t>
        </is>
      </c>
      <c r="B9" t="str">
        <f>HYPERLINK("C:\Users\Paul\Documents\TA 36\App\AutomaEye\projects\SH1160\outputs\2026-07-15\030-0842.jpg","030-0842.jpg")</f>
      </c>
      <c r="C9" t="inlineStr">
        <is>
          <t xml:space="preserve">NG</t>
        </is>
      </c>
      <c r="D9">
        <v>13.79</v>
      </c>
      <c r="E9">
        <v>6.67</v>
      </c>
      <c r="F9">
        <v>14.86</v>
      </c>
      <c r="G9">
        <v>6.67</v>
      </c>
      <c r="H9">
        <v>12.37</v>
      </c>
      <c r="I9">
        <v>6.32</v>
      </c>
      <c r="J9">
        <v>15.22</v>
      </c>
      <c r="K9">
        <v>6.23</v>
      </c>
      <c r="L9">
        <v>14.15</v>
      </c>
      <c r="M9">
        <v>6.32</v>
      </c>
      <c r="N9">
        <v>15.42</v>
      </c>
      <c r="O9">
        <v>6.73</v>
      </c>
      <c r="P9">
        <v>15.22</v>
      </c>
      <c r="Q9">
        <v>6.32</v>
      </c>
      <c r="R9">
        <v>13.44</v>
      </c>
      <c r="S9">
        <v>6.32</v>
      </c>
      <c r="T9">
        <v>2.2</v>
      </c>
      <c r="U9">
        <v>2.49</v>
      </c>
      <c r="V9">
        <v>2.39</v>
      </c>
      <c r="W9">
        <v>2.56</v>
      </c>
      <c r="X9">
        <v>2.45</v>
      </c>
      <c r="Y9">
        <v>2.48</v>
      </c>
      <c r="Z9">
        <v>684</v>
      </c>
    </row>
    <row r="10">
      <c r="A10" t="inlineStr">
        <is>
          <t xml:space="preserve">033-0842</t>
        </is>
      </c>
      <c r="B10" t="str">
        <f>HYPERLINK("C:\Users\Paul\Documents\TA 36\App\AutomaEye\projects\SH1160\outputs\2026-07-15\033-0842.jpg","033-0842.jpg")</f>
      </c>
      <c r="C10" t="inlineStr">
        <is>
          <t xml:space="preserve">NG</t>
        </is>
      </c>
      <c r="D10">
        <v>14.51</v>
      </c>
      <c r="E10">
        <v>6.32</v>
      </c>
      <c r="F10">
        <v>12.18</v>
      </c>
      <c r="G10">
        <v>5.54</v>
      </c>
      <c r="H10">
        <v>14.64</v>
      </c>
      <c r="I10">
        <v>6.65</v>
      </c>
      <c r="J10">
        <v>13.94</v>
      </c>
      <c r="K10">
        <v>6.7</v>
      </c>
      <c r="L10">
        <v>14.91</v>
      </c>
      <c r="M10">
        <v>6.27</v>
      </c>
      <c r="N10">
        <v>14.15</v>
      </c>
      <c r="O10">
        <v>6.55</v>
      </c>
      <c r="P10">
        <v>11.4</v>
      </c>
      <c r="Q10">
        <v>7.03</v>
      </c>
      <c r="R10">
        <v>14.45</v>
      </c>
      <c r="S10">
        <v>6.88</v>
      </c>
      <c r="T10">
        <v>2.03</v>
      </c>
      <c r="U10">
        <v>2.33</v>
      </c>
      <c r="V10">
        <v>2.14</v>
      </c>
      <c r="W10">
        <v>2.48</v>
      </c>
      <c r="X10">
        <v>2.44</v>
      </c>
      <c r="Y10">
        <v>2.48</v>
      </c>
      <c r="Z10">
        <v>772</v>
      </c>
    </row>
    <row r="11">
      <c r="A11" t="inlineStr">
        <is>
          <t xml:space="preserve">036-0852</t>
        </is>
      </c>
      <c r="B11" t="str">
        <f>HYPERLINK("C:\Users\Paul\Documents\TA 36\App\AutomaEye\projects\SH1160\outputs\2026-07-15\036-0852.jpg","036-0852.jpg")</f>
      </c>
      <c r="C11" t="inlineStr">
        <is>
          <t xml:space="preserve">NG</t>
        </is>
      </c>
      <c r="D11">
        <v>13.59</v>
      </c>
      <c r="E11">
        <v>6.39</v>
      </c>
      <c r="F11">
        <v>15.03</v>
      </c>
      <c r="G11">
        <v>6.75</v>
      </c>
      <c r="H11">
        <v>14.67</v>
      </c>
      <c r="I11">
        <v>6.39</v>
      </c>
      <c r="J11">
        <v>15.03</v>
      </c>
      <c r="K11">
        <v>6.93</v>
      </c>
      <c r="L11">
        <v>14.67</v>
      </c>
      <c r="M11">
        <v>6.75</v>
      </c>
      <c r="N11">
        <v>15.03</v>
      </c>
      <c r="O11">
        <v>6.57</v>
      </c>
      <c r="P11">
        <v>13.95</v>
      </c>
      <c r="Q11">
        <v>6.75</v>
      </c>
      <c r="R11">
        <v>14.31</v>
      </c>
      <c r="S11">
        <v>6.03</v>
      </c>
      <c r="T11">
        <v>2.23</v>
      </c>
      <c r="U11">
        <v>2.64</v>
      </c>
      <c r="V11">
        <v>2.31</v>
      </c>
      <c r="W11">
        <v>2.68</v>
      </c>
      <c r="X11">
        <v>2.43</v>
      </c>
      <c r="Y11">
        <v>2.52</v>
      </c>
      <c r="Z11">
        <v>1167</v>
      </c>
    </row>
    <row r="12">
      <c r="A12" t="inlineStr">
        <is>
          <t xml:space="preserve">037-0853</t>
        </is>
      </c>
      <c r="B12" t="str">
        <f>HYPERLINK("C:\Users\Paul\Documents\TA 36\App\AutomaEye\projects\SH1160\outputs\2026-07-15\037-0853.jpg","037-0853.jpg")</f>
      </c>
      <c r="C12" t="inlineStr">
        <is>
          <t xml:space="preserve">NG</t>
        </is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>
        <v>716</v>
      </c>
    </row>
    <row r="13">
      <c r="A13" t="inlineStr">
        <is>
          <t xml:space="preserve">038-0853</t>
        </is>
      </c>
      <c r="B13" t="str">
        <f>HYPERLINK("C:\Users\Paul\Documents\TA 36\App\AutomaEye\projects\SH1160\outputs\2026-07-15\038-0853.jpg","038-0853.jpg")</f>
      </c>
      <c r="C13" t="inlineStr">
        <is>
          <t xml:space="preserve">NG</t>
        </is>
      </c>
      <c r="D13">
        <v>13.23</v>
      </c>
      <c r="E13">
        <v>7.47</v>
      </c>
      <c r="F13">
        <v>13.95</v>
      </c>
      <c r="G13">
        <v>6.66</v>
      </c>
      <c r="H13">
        <v>15.03</v>
      </c>
      <c r="I13">
        <v>6.39</v>
      </c>
      <c r="J13">
        <v>13.95</v>
      </c>
      <c r="K13">
        <v>6.93</v>
      </c>
      <c r="L13">
        <v>14.62</v>
      </c>
      <c r="M13">
        <v>6.93</v>
      </c>
      <c r="N13">
        <v>15.75</v>
      </c>
      <c r="O13">
        <v>7.11</v>
      </c>
      <c r="P13">
        <v>15.03</v>
      </c>
      <c r="Q13">
        <v>7.11</v>
      </c>
      <c r="R13">
        <v>13.95</v>
      </c>
      <c r="S13">
        <v>6.75</v>
      </c>
      <c r="T13">
        <v>2.59</v>
      </c>
      <c r="U13">
        <v>2.48</v>
      </c>
      <c r="V13">
        <v>2.47</v>
      </c>
      <c r="W13">
        <v>2.31</v>
      </c>
      <c r="X13">
        <v>2.5</v>
      </c>
      <c r="Y13">
        <v>2.36</v>
      </c>
      <c r="Z13">
        <v>785</v>
      </c>
    </row>
    <row r="14">
      <c r="A14" t="inlineStr">
        <is>
          <t xml:space="preserve">039-0853</t>
        </is>
      </c>
      <c r="B14" t="str">
        <f>HYPERLINK("C:\Users\Paul\Documents\TA 36\App\AutomaEye\projects\SH1160\outputs\2026-07-15\039-0853.jpg","039-0853.jpg")</f>
      </c>
      <c r="C14" t="inlineStr">
        <is>
          <t xml:space="preserve">NG</t>
        </is>
      </c>
      <c r="D14">
        <v>14.67</v>
      </c>
      <c r="E14">
        <v>6.3</v>
      </c>
      <c r="F14">
        <v>15.01</v>
      </c>
      <c r="G14">
        <v>6.66</v>
      </c>
      <c r="H14">
        <v>15.03</v>
      </c>
      <c r="I14">
        <v>6.66</v>
      </c>
      <c r="J14">
        <v>15.59</v>
      </c>
      <c r="K14">
        <v>6.73</v>
      </c>
      <c r="L14"/>
      <c r="M14"/>
      <c r="N14">
        <v>14.31</v>
      </c>
      <c r="O14">
        <v>6.75</v>
      </c>
      <c r="P14">
        <v>14.31</v>
      </c>
      <c r="Q14">
        <v>8.19</v>
      </c>
      <c r="R14">
        <v>13.95</v>
      </c>
      <c r="S14">
        <v>6.75</v>
      </c>
      <c r="T14">
        <v>2.36</v>
      </c>
      <c r="U14">
        <v>2.38</v>
      </c>
      <c r="V14"/>
      <c r="W14"/>
      <c r="X14">
        <v>2.57</v>
      </c>
      <c r="Y14">
        <v>2.5</v>
      </c>
      <c r="Z14">
        <v>1044</v>
      </c>
    </row>
    <row r="15">
      <c r="A15" t="inlineStr">
        <is>
          <t xml:space="preserve">044-0855</t>
        </is>
      </c>
      <c r="B15" t="str">
        <f>HYPERLINK("C:\Users\Paul\Documents\TA 36\App\AutomaEye\projects\SH1160\outputs\2026-07-15\044-0855.jpg","044-0855.jpg")</f>
      </c>
      <c r="C15" t="inlineStr">
        <is>
          <t xml:space="preserve">NG</t>
        </is>
      </c>
      <c r="D15">
        <v>12.87</v>
      </c>
      <c r="E15">
        <v>6.39</v>
      </c>
      <c r="F15">
        <v>15.03</v>
      </c>
      <c r="G15">
        <v>6.39</v>
      </c>
      <c r="H15">
        <v>15.03</v>
      </c>
      <c r="I15">
        <v>6.75</v>
      </c>
      <c r="J15">
        <v>14.31</v>
      </c>
      <c r="K15">
        <v>6.75</v>
      </c>
      <c r="L15">
        <v>15.03</v>
      </c>
      <c r="M15">
        <v>6.75</v>
      </c>
      <c r="N15">
        <v>13.95</v>
      </c>
      <c r="O15">
        <v>7.11</v>
      </c>
      <c r="P15">
        <v>14.31</v>
      </c>
      <c r="Q15">
        <v>6.39</v>
      </c>
      <c r="R15">
        <v>12.87</v>
      </c>
      <c r="S15">
        <v>7.11</v>
      </c>
      <c r="T15">
        <v>2.4</v>
      </c>
      <c r="U15">
        <v>2.63</v>
      </c>
      <c r="V15">
        <v>2.49</v>
      </c>
      <c r="W15">
        <v>2.41</v>
      </c>
      <c r="X15">
        <v>2.46</v>
      </c>
      <c r="Y15">
        <v>2.29</v>
      </c>
      <c r="Z15">
        <v>815</v>
      </c>
    </row>
    <row r="16">
      <c r="A16" t="inlineStr">
        <is>
          <t xml:space="preserve">045-0855</t>
        </is>
      </c>
      <c r="B16" t="str">
        <f>HYPERLINK("C:\Users\Paul\Documents\TA 36\App\AutomaEye\projects\SH1160\outputs\2026-07-15\045-0855.jpg","045-0855.jpg")</f>
      </c>
      <c r="C16" t="inlineStr">
        <is>
          <t xml:space="preserve">NG</t>
        </is>
      </c>
      <c r="D16">
        <v>13.59</v>
      </c>
      <c r="E16">
        <v>6.75</v>
      </c>
      <c r="F16">
        <v>14.67</v>
      </c>
      <c r="G16">
        <v>6.75</v>
      </c>
      <c r="H16">
        <v>14.31</v>
      </c>
      <c r="I16">
        <v>6.39</v>
      </c>
      <c r="J16">
        <v>15.03</v>
      </c>
      <c r="K16">
        <v>6.75</v>
      </c>
      <c r="L16"/>
      <c r="M16"/>
      <c r="N16">
        <v>15.03</v>
      </c>
      <c r="O16">
        <v>7.02</v>
      </c>
      <c r="P16">
        <v>14.31</v>
      </c>
      <c r="Q16">
        <v>6.39</v>
      </c>
      <c r="R16">
        <v>12.15</v>
      </c>
      <c r="S16">
        <v>7.11</v>
      </c>
      <c r="T16">
        <v>2.42</v>
      </c>
      <c r="U16">
        <v>2.36</v>
      </c>
      <c r="V16">
        <v>2.3</v>
      </c>
      <c r="W16">
        <v>2.62</v>
      </c>
      <c r="X16">
        <v>2.47</v>
      </c>
      <c r="Y16">
        <v>2.29</v>
      </c>
      <c r="Z16">
        <v>832</v>
      </c>
    </row>
    <row r="17">
      <c r="A17" t="inlineStr">
        <is>
          <t xml:space="preserve">046-0855</t>
        </is>
      </c>
      <c r="B17" t="str">
        <f>HYPERLINK("C:\Users\Paul\Documents\TA 36\App\AutomaEye\projects\SH1160\outputs\2026-07-15\046-0855.jpg","046-0855.jpg")</f>
      </c>
      <c r="C17" t="inlineStr">
        <is>
          <t xml:space="preserve">NG</t>
        </is>
      </c>
      <c r="D17">
        <v>13.95</v>
      </c>
      <c r="E17">
        <v>6.39</v>
      </c>
      <c r="F17">
        <v>14.67</v>
      </c>
      <c r="G17">
        <v>6.66</v>
      </c>
      <c r="H17">
        <v>14.31</v>
      </c>
      <c r="I17">
        <v>6.75</v>
      </c>
      <c r="J17">
        <v>13.95</v>
      </c>
      <c r="K17">
        <v>7.11</v>
      </c>
      <c r="L17">
        <v>13.59</v>
      </c>
      <c r="M17">
        <v>6.75</v>
      </c>
      <c r="N17"/>
      <c r="O17"/>
      <c r="P17">
        <v>14.67</v>
      </c>
      <c r="Q17">
        <v>6.21</v>
      </c>
      <c r="R17">
        <v>13.23</v>
      </c>
      <c r="S17">
        <v>7.11</v>
      </c>
      <c r="T17">
        <v>2.37</v>
      </c>
      <c r="U17">
        <v>2.64</v>
      </c>
      <c r="V17">
        <v>2.27</v>
      </c>
      <c r="W17">
        <v>2.48</v>
      </c>
      <c r="X17">
        <v>2.41</v>
      </c>
      <c r="Y17">
        <v>2.46</v>
      </c>
      <c r="Z17">
        <v>833</v>
      </c>
    </row>
    <row r="18">
      <c r="A18" t="inlineStr">
        <is>
          <t xml:space="preserve">047-0855</t>
        </is>
      </c>
      <c r="B18" t="str">
        <f>HYPERLINK("C:\Users\Paul\Documents\TA 36\App\AutomaEye\projects\SH1160\outputs\2026-07-15\047-0855.jpg","047-0855.jpg")</f>
      </c>
      <c r="C18" t="inlineStr">
        <is>
          <t xml:space="preserve">NG</t>
        </is>
      </c>
      <c r="D18">
        <v>13.95</v>
      </c>
      <c r="E18">
        <v>6.39</v>
      </c>
      <c r="F18">
        <v>14.67</v>
      </c>
      <c r="G18">
        <v>6.39</v>
      </c>
      <c r="H18">
        <v>15.03</v>
      </c>
      <c r="I18">
        <v>6.75</v>
      </c>
      <c r="J18">
        <v>15.75</v>
      </c>
      <c r="K18">
        <v>7.11</v>
      </c>
      <c r="L18">
        <v>15.39</v>
      </c>
      <c r="M18">
        <v>6.75</v>
      </c>
      <c r="N18">
        <v>15.03</v>
      </c>
      <c r="O18">
        <v>7.11</v>
      </c>
      <c r="P18">
        <v>13.95</v>
      </c>
      <c r="Q18">
        <v>6.75</v>
      </c>
      <c r="R18">
        <v>14.31</v>
      </c>
      <c r="S18">
        <v>7.11</v>
      </c>
      <c r="T18">
        <v>2.43</v>
      </c>
      <c r="U18">
        <v>2.47</v>
      </c>
      <c r="V18">
        <v>2.14</v>
      </c>
      <c r="W18">
        <v>2.45</v>
      </c>
      <c r="X18">
        <v>2.52</v>
      </c>
      <c r="Y18">
        <v>2.29</v>
      </c>
      <c r="Z18">
        <v>760</v>
      </c>
    </row>
    <row r="19">
      <c r="A19" t="inlineStr">
        <is>
          <t xml:space="preserve">048-0855</t>
        </is>
      </c>
      <c r="B19" t="str">
        <f>HYPERLINK("C:\Users\Paul\Documents\TA 36\App\AutomaEye\projects\SH1160\outputs\2026-07-15\048-0855.jpg","048-0855.jpg")</f>
      </c>
      <c r="C19" t="inlineStr">
        <is>
          <t xml:space="preserve">NG</t>
        </is>
      </c>
      <c r="D19">
        <v>13.23</v>
      </c>
      <c r="E19">
        <v>6.39</v>
      </c>
      <c r="F19">
        <v>15.39</v>
      </c>
      <c r="G19">
        <v>6.75</v>
      </c>
      <c r="H19">
        <v>15.39</v>
      </c>
      <c r="I19">
        <v>6.39</v>
      </c>
      <c r="J19">
        <v>15.39</v>
      </c>
      <c r="K19">
        <v>6.75</v>
      </c>
      <c r="L19">
        <v>15.39</v>
      </c>
      <c r="M19">
        <v>6.75</v>
      </c>
      <c r="N19">
        <v>14.91</v>
      </c>
      <c r="O19">
        <v>6.85</v>
      </c>
      <c r="P19">
        <v>14.67</v>
      </c>
      <c r="Q19">
        <v>6.39</v>
      </c>
      <c r="R19">
        <v>11.97</v>
      </c>
      <c r="S19">
        <v>7.11</v>
      </c>
      <c r="T19">
        <v>2.36</v>
      </c>
      <c r="U19">
        <v>2.4</v>
      </c>
      <c r="V19">
        <v>2.23</v>
      </c>
      <c r="W19">
        <v>2.38</v>
      </c>
      <c r="X19">
        <v>2.68</v>
      </c>
      <c r="Y19">
        <v>2.32</v>
      </c>
      <c r="Z19">
        <v>823</v>
      </c>
    </row>
    <row r="20">
      <c r="A20" t="inlineStr">
        <is>
          <t xml:space="preserve">049-0855</t>
        </is>
      </c>
      <c r="B20" t="str">
        <f>HYPERLINK("C:\Users\Paul\Documents\TA 36\App\AutomaEye\projects\SH1160\outputs\2026-07-15\049-0855.jpg","049-0855.jpg")</f>
      </c>
      <c r="C20" t="inlineStr">
        <is>
          <t xml:space="preserve">NG</t>
        </is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>
        <v>728</v>
      </c>
    </row>
    <row r="21">
      <c r="A21" t="inlineStr">
        <is>
          <t xml:space="preserve">050-0855</t>
        </is>
      </c>
      <c r="B21" t="str">
        <f>HYPERLINK("C:\Users\Paul\Documents\TA 36\App\AutomaEye\projects\SH1160\outputs\2026-07-15\050-0855.jpg","050-0855.jpg")</f>
      </c>
      <c r="C21" t="inlineStr">
        <is>
          <t xml:space="preserve">NG</t>
        </is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>
        <v>723</v>
      </c>
    </row>
    <row r="22">
      <c r="A22" t="inlineStr">
        <is>
          <t xml:space="preserve">055-0856</t>
        </is>
      </c>
      <c r="B22" t="str">
        <f>HYPERLINK("C:\Users\Paul\Documents\TA 36\App\AutomaEye\projects\SH1160\outputs\2026-07-15\055-0856.jpg","055-0856.jpg")</f>
      </c>
      <c r="C22" t="inlineStr">
        <is>
          <t xml:space="preserve">NG</t>
        </is>
      </c>
      <c r="D22">
        <v>12.15</v>
      </c>
      <c r="E22">
        <v>6.39</v>
      </c>
      <c r="F22">
        <v>12.15</v>
      </c>
      <c r="G22">
        <v>6.75</v>
      </c>
      <c r="H22">
        <v>15.03</v>
      </c>
      <c r="I22">
        <v>6.75</v>
      </c>
      <c r="J22">
        <v>12.15</v>
      </c>
      <c r="K22">
        <v>7.11</v>
      </c>
      <c r="L22">
        <v>12.15</v>
      </c>
      <c r="M22">
        <v>6.75</v>
      </c>
      <c r="N22">
        <v>15.39</v>
      </c>
      <c r="O22">
        <v>7.11</v>
      </c>
      <c r="P22">
        <v>14.22</v>
      </c>
      <c r="Q22">
        <v>6.39</v>
      </c>
      <c r="R22">
        <v>14.67</v>
      </c>
      <c r="S22">
        <v>6.39</v>
      </c>
      <c r="T22">
        <v>2.41</v>
      </c>
      <c r="U22">
        <v>2.53</v>
      </c>
      <c r="V22">
        <v>2.68</v>
      </c>
      <c r="W22">
        <v>2.48</v>
      </c>
      <c r="X22">
        <v>2.38</v>
      </c>
      <c r="Y22">
        <v>2.39</v>
      </c>
      <c r="Z22">
        <v>796</v>
      </c>
    </row>
    <row r="23">
      <c r="A23" t="inlineStr">
        <is>
          <t xml:space="preserve">056-0856</t>
        </is>
      </c>
      <c r="B23" t="str">
        <f>HYPERLINK("C:\Users\Paul\Documents\TA 36\App\AutomaEye\projects\SH1160\outputs\2026-07-15\056-0856.jpg","056-0856.jpg")</f>
      </c>
      <c r="C23" t="inlineStr">
        <is>
          <t xml:space="preserve">NG</t>
        </is>
      </c>
      <c r="D23">
        <v>13.95</v>
      </c>
      <c r="E23">
        <v>6.39</v>
      </c>
      <c r="F23">
        <v>12.87</v>
      </c>
      <c r="G23">
        <v>6.75</v>
      </c>
      <c r="H23">
        <v>14.67</v>
      </c>
      <c r="I23">
        <v>6.39</v>
      </c>
      <c r="J23">
        <v>11.61</v>
      </c>
      <c r="K23">
        <v>7.11</v>
      </c>
      <c r="L23">
        <v>11.79</v>
      </c>
      <c r="M23">
        <v>6.75</v>
      </c>
      <c r="N23">
        <v>13.38</v>
      </c>
      <c r="O23">
        <v>7.04</v>
      </c>
      <c r="P23">
        <v>11.61</v>
      </c>
      <c r="Q23">
        <v>6.39</v>
      </c>
      <c r="R23">
        <v>14.31</v>
      </c>
      <c r="S23">
        <v>6.75</v>
      </c>
      <c r="T23">
        <v>2.36</v>
      </c>
      <c r="U23">
        <v>2.23</v>
      </c>
      <c r="V23">
        <v>2.42</v>
      </c>
      <c r="W23">
        <v>2.63</v>
      </c>
      <c r="X23">
        <v>2.36</v>
      </c>
      <c r="Y23">
        <v>2.39</v>
      </c>
      <c r="Z23">
        <v>934</v>
      </c>
    </row>
    <row r="24">
      <c r="A24" t="inlineStr">
        <is>
          <t xml:space="preserve">057-0856</t>
        </is>
      </c>
      <c r="B24" t="str">
        <f>HYPERLINK("C:\Users\Paul\Documents\TA 36\App\AutomaEye\projects\SH1160\outputs\2026-07-15\057-0856.jpg","057-0856.jpg")</f>
      </c>
      <c r="C24" t="inlineStr">
        <is>
          <t xml:space="preserve">NG</t>
        </is>
      </c>
      <c r="D24">
        <v>13.95</v>
      </c>
      <c r="E24">
        <v>6.39</v>
      </c>
      <c r="F24">
        <v>15.39</v>
      </c>
      <c r="G24">
        <v>6.39</v>
      </c>
      <c r="H24">
        <v>14.36</v>
      </c>
      <c r="I24">
        <v>6.49</v>
      </c>
      <c r="J24">
        <v>12.51</v>
      </c>
      <c r="K24">
        <v>6.75</v>
      </c>
      <c r="L24"/>
      <c r="M24"/>
      <c r="N24">
        <v>12.51</v>
      </c>
      <c r="O24">
        <v>6.75</v>
      </c>
      <c r="P24">
        <v>13.95</v>
      </c>
      <c r="Q24">
        <v>6.39</v>
      </c>
      <c r="R24">
        <v>12.51</v>
      </c>
      <c r="S24">
        <v>6.39</v>
      </c>
      <c r="T24">
        <v>2.35</v>
      </c>
      <c r="U24">
        <v>2.41</v>
      </c>
      <c r="V24">
        <v>2.48</v>
      </c>
      <c r="W24">
        <v>2.4</v>
      </c>
      <c r="X24">
        <v>2.37</v>
      </c>
      <c r="Y24">
        <v>2.16</v>
      </c>
      <c r="Z24">
        <v>801</v>
      </c>
    </row>
    <row r="25">
      <c r="A25" t="inlineStr">
        <is>
          <t xml:space="preserve">058-1041</t>
        </is>
      </c>
      <c r="B25" t="str">
        <f>HYPERLINK("C:\Users\Paul\Documents\TA 36\App\AutomaEye\projects\SH1160\outputs\2026-07-15\058-1041.jpg","058-1041.jpg")</f>
      </c>
      <c r="C25" t="inlineStr">
        <is>
          <t xml:space="preserve">NG</t>
        </is>
      </c>
      <c r="D25">
        <v>14.76</v>
      </c>
      <c r="E25">
        <v>6.3</v>
      </c>
      <c r="F25">
        <v>15.48</v>
      </c>
      <c r="G25">
        <v>7.02</v>
      </c>
      <c r="H25">
        <v>15.66</v>
      </c>
      <c r="I25">
        <v>7.02</v>
      </c>
      <c r="J25">
        <v>15.66</v>
      </c>
      <c r="K25">
        <v>7.74</v>
      </c>
      <c r="L25">
        <v>16.38</v>
      </c>
      <c r="M25">
        <v>7.02</v>
      </c>
      <c r="N25">
        <v>15.66</v>
      </c>
      <c r="O25">
        <v>7.02</v>
      </c>
      <c r="P25">
        <v>15.66</v>
      </c>
      <c r="Q25">
        <v>6.12</v>
      </c>
      <c r="R25">
        <v>15.66</v>
      </c>
      <c r="S25">
        <v>7.02</v>
      </c>
      <c r="T25">
        <v>3.35</v>
      </c>
      <c r="U25">
        <v>3.82</v>
      </c>
      <c r="V25">
        <v>3.35</v>
      </c>
      <c r="W25">
        <v>2.8</v>
      </c>
      <c r="X25">
        <v>3.42</v>
      </c>
      <c r="Y25">
        <v>3.35</v>
      </c>
      <c r="Z25">
        <v>27585</v>
      </c>
    </row>
    <row r="26">
      <c r="A26" t="inlineStr">
        <is>
          <t xml:space="preserve">066-1043</t>
        </is>
      </c>
      <c r="B26" t="str">
        <f>HYPERLINK("C:\Users\Paul\Documents\TA 36\App\AutomaEye\projects\SH1160\outputs\2026-07-15\066-1043.jpg","066-1043.jpg")</f>
      </c>
      <c r="C26" t="inlineStr">
        <is>
          <t xml:space="preserve">NG</t>
        </is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>
        <v>671</v>
      </c>
    </row>
    <row r="27">
      <c r="A27" t="inlineStr">
        <is>
          <t xml:space="preserve">067-1043</t>
        </is>
      </c>
      <c r="B27" t="str">
        <f>HYPERLINK("C:\Users\Paul\Documents\TA 36\App\AutomaEye\projects\SH1160\outputs\2026-07-15\067-1043.jpg","067-1043.jpg")</f>
      </c>
      <c r="C27" t="inlineStr">
        <is>
          <t xml:space="preserve">NG</t>
        </is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>
        <v>675</v>
      </c>
    </row>
    <row r="28">
      <c r="A28" t="inlineStr">
        <is>
          <t xml:space="preserve">070-1043</t>
        </is>
      </c>
      <c r="B28" t="str">
        <f>HYPERLINK("C:\Users\Paul\Documents\TA 36\App\AutomaEye\projects\SH1160\outputs\2026-07-15\070-1043.jpg","070-1043.jpg")</f>
      </c>
      <c r="C28" t="inlineStr">
        <is>
          <t xml:space="preserve">NG</t>
        </is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>
        <v>689</v>
      </c>
    </row>
    <row r="29">
      <c r="A29" t="inlineStr">
        <is>
          <t xml:space="preserve">072-1043</t>
        </is>
      </c>
      <c r="B29" t="str">
        <f>HYPERLINK("C:\Users\Paul\Documents\TA 36\App\AutomaEye\projects\SH1160\outputs\2026-07-15\072-1043.jpg","072-1043.jpg")</f>
      </c>
      <c r="C29" t="inlineStr">
        <is>
          <t xml:space="preserve">NG</t>
        </is>
      </c>
      <c r="D29">
        <v>12.51</v>
      </c>
      <c r="E29">
        <v>6.03</v>
      </c>
      <c r="F29">
        <v>12.51</v>
      </c>
      <c r="G29">
        <v>5.31</v>
      </c>
      <c r="H29"/>
      <c r="I29"/>
      <c r="J29">
        <v>12.51</v>
      </c>
      <c r="K29">
        <v>5.67</v>
      </c>
      <c r="L29">
        <v>12.87</v>
      </c>
      <c r="M29">
        <v>5.31</v>
      </c>
      <c r="N29"/>
      <c r="O29"/>
      <c r="P29">
        <v>12.15</v>
      </c>
      <c r="Q29">
        <v>5.31</v>
      </c>
      <c r="R29">
        <v>5.67</v>
      </c>
      <c r="S29">
        <v>1.89</v>
      </c>
      <c r="T29">
        <v>2.26</v>
      </c>
      <c r="U29">
        <v>2.29</v>
      </c>
      <c r="V29"/>
      <c r="W29"/>
      <c r="X29"/>
      <c r="Y29">
        <v>2.17</v>
      </c>
      <c r="Z29">
        <v>704</v>
      </c>
    </row>
  </sheetData>
</worksheet>
</file>