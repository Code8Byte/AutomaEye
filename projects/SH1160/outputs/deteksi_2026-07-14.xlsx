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eksi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0" customWidth="1"/>
  </cols>
  <sheetData>
    <row r="1">
      <c r="A1" t="inlineStr">
        <is>
          <t xml:space="preserve">ID</t>
        </is>
      </c>
      <c r="B1" t="inlineStr">
        <is>
          <t xml:space="preserve">Gambar (link)</t>
        </is>
      </c>
      <c r="C1" t="inlineStr">
        <is>
          <t xml:space="preserve">Verdict</t>
        </is>
      </c>
      <c r="D1" t="inlineStr">
        <is>
          <t xml:space="preserve">Kotak 1 Panjang (mm)</t>
        </is>
      </c>
      <c r="E1" t="inlineStr">
        <is>
          <t xml:space="preserve">Kotak 1 Lebar (mm)</t>
        </is>
      </c>
      <c r="F1" t="inlineStr">
        <is>
          <t xml:space="preserve">Kotak 2 Panjang (mm)</t>
        </is>
      </c>
      <c r="G1" t="inlineStr">
        <is>
          <t xml:space="preserve">Kotak 2 Lebar (mm)</t>
        </is>
      </c>
      <c r="H1" t="inlineStr">
        <is>
          <t xml:space="preserve">Kotak 3 Panjang (mm)</t>
        </is>
      </c>
      <c r="I1" t="inlineStr">
        <is>
          <t xml:space="preserve">Kotak 3 Lebar (mm)</t>
        </is>
      </c>
      <c r="J1" t="inlineStr">
        <is>
          <t xml:space="preserve">Kotak 4 Panjang (mm)</t>
        </is>
      </c>
      <c r="K1" t="inlineStr">
        <is>
          <t xml:space="preserve">Kotak 4 Lebar (mm)</t>
        </is>
      </c>
      <c r="L1" t="inlineStr">
        <is>
          <t xml:space="preserve">Kotak 5 Panjang (mm)</t>
        </is>
      </c>
      <c r="M1" t="inlineStr">
        <is>
          <t xml:space="preserve">Kotak 5 Lebar (mm)</t>
        </is>
      </c>
      <c r="N1" t="inlineStr">
        <is>
          <t xml:space="preserve">Kotak 6 Panjang (mm)</t>
        </is>
      </c>
      <c r="O1" t="inlineStr">
        <is>
          <t xml:space="preserve">Kotak 6 Lebar (mm)</t>
        </is>
      </c>
      <c r="P1" t="inlineStr">
        <is>
          <t xml:space="preserve">Kotak 7 Panjang (mm)</t>
        </is>
      </c>
      <c r="Q1" t="inlineStr">
        <is>
          <t xml:space="preserve">Kotak 7 Lebar (mm)</t>
        </is>
      </c>
      <c r="R1" t="inlineStr">
        <is>
          <t xml:space="preserve">Kotak 8 Panjang (mm)</t>
        </is>
      </c>
      <c r="S1" t="inlineStr">
        <is>
          <t xml:space="preserve">Kotak 8 Lebar (mm)</t>
        </is>
      </c>
      <c r="T1" t="inlineStr">
        <is>
          <t xml:space="preserve">Lubang 1 Ø (mm)</t>
        </is>
      </c>
      <c r="U1" t="inlineStr">
        <is>
          <t xml:space="preserve">Lubang 2 Ø (mm)</t>
        </is>
      </c>
      <c r="V1" t="inlineStr">
        <is>
          <t xml:space="preserve">Lubang 3 Ø (mm)</t>
        </is>
      </c>
      <c r="W1" t="inlineStr">
        <is>
          <t xml:space="preserve">Lubang 4 Ø (mm)</t>
        </is>
      </c>
      <c r="X1" t="inlineStr">
        <is>
          <t xml:space="preserve">Lubang 5 Ø (mm)</t>
        </is>
      </c>
      <c r="Y1" t="inlineStr">
        <is>
          <t xml:space="preserve">Lubang 6 Ø (mm)</t>
        </is>
      </c>
      <c r="Z1" t="inlineStr">
        <is>
          <t xml:space="preserve">Waktu Deteksi (ms)</t>
        </is>
      </c>
    </row>
    <row r="2">
      <c r="A2" t="inlineStr">
        <is>
          <t xml:space="preserve">297-0452</t>
        </is>
      </c>
      <c r="B2" t="str">
        <f>HYPERLINK("C:\Users\Paul\Documents\TA 36\App\AutomaEye\projects\SH1160\outputs\2026-07-14\297-0452.jpg","297-0452.jpg")</f>
      </c>
      <c r="C2" t="inlineStr">
        <is>
          <t xml:space="preserve">NG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>
        <v>694</v>
      </c>
    </row>
    <row r="3">
      <c r="A3" t="inlineStr">
        <is>
          <t xml:space="preserve">298-0452</t>
        </is>
      </c>
      <c r="B3" t="str">
        <f>HYPERLINK("C:\Users\Paul\Documents\TA 36\App\AutomaEye\projects\SH1160\outputs\2026-07-14\298-0452.jpg","298-0452.jpg")</f>
      </c>
      <c r="C3" t="inlineStr">
        <is>
          <t xml:space="preserve">NG</t>
        </is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>
        <v>662</v>
      </c>
    </row>
    <row r="4">
      <c r="A4" t="inlineStr">
        <is>
          <t xml:space="preserve">299-0452</t>
        </is>
      </c>
      <c r="B4" t="str">
        <f>HYPERLINK("C:\Users\Paul\Documents\TA 36\App\AutomaEye\projects\SH1160\outputs\2026-07-14\299-0452.jpg","299-0452.jpg")</f>
      </c>
      <c r="C4" t="inlineStr">
        <is>
          <t xml:space="preserve">NG</t>
        </is>
      </c>
      <c r="D4">
        <v>14.87</v>
      </c>
      <c r="E4">
        <v>6.84</v>
      </c>
      <c r="F4">
        <v>13.79</v>
      </c>
      <c r="G4">
        <v>7.03</v>
      </c>
      <c r="H4">
        <v>14.86</v>
      </c>
      <c r="I4">
        <v>7.03</v>
      </c>
      <c r="J4"/>
      <c r="K4"/>
      <c r="L4">
        <v>14.86</v>
      </c>
      <c r="M4">
        <v>6.67</v>
      </c>
      <c r="N4">
        <v>15.22</v>
      </c>
      <c r="O4">
        <v>7.03</v>
      </c>
      <c r="P4">
        <v>14.51</v>
      </c>
      <c r="Q4">
        <v>6.67</v>
      </c>
      <c r="R4">
        <v>13.44</v>
      </c>
      <c r="S4">
        <v>6.67</v>
      </c>
      <c r="T4">
        <v>2.43</v>
      </c>
      <c r="U4">
        <v>2.63</v>
      </c>
      <c r="V4">
        <v>2.66</v>
      </c>
      <c r="W4">
        <v>2.55</v>
      </c>
      <c r="X4">
        <v>2.5</v>
      </c>
      <c r="Y4">
        <v>2.41</v>
      </c>
      <c r="Z4">
        <v>713</v>
      </c>
    </row>
    <row r="5">
      <c r="A5" t="inlineStr">
        <is>
          <t xml:space="preserve">300-0453</t>
        </is>
      </c>
      <c r="B5" t="str">
        <f>HYPERLINK("C:\Users\Paul\Documents\TA 36\App\AutomaEye\projects\SH1160\outputs\2026-07-14\300-0453.jpg","300-0453.jpg")</f>
      </c>
      <c r="C5" t="inlineStr">
        <is>
          <t xml:space="preserve">NG</t>
        </is>
      </c>
      <c r="D5">
        <v>1.81</v>
      </c>
      <c r="E5">
        <v>0.27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795</v>
      </c>
    </row>
    <row r="6">
      <c r="A6" t="inlineStr">
        <is>
          <t xml:space="preserve">301-0453</t>
        </is>
      </c>
      <c r="B6" t="str">
        <f>HYPERLINK("C:\Users\Paul\Documents\TA 36\App\AutomaEye\projects\SH1160\outputs\2026-07-14\301-0453.jpg","301-0453.jpg")</f>
      </c>
      <c r="C6" t="inlineStr">
        <is>
          <t xml:space="preserve">NG</t>
        </is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>
        <v>639</v>
      </c>
    </row>
    <row r="7">
      <c r="A7" t="inlineStr">
        <is>
          <t xml:space="preserve">302-0453</t>
        </is>
      </c>
      <c r="B7" t="str">
        <f>HYPERLINK("C:\Users\Paul\Documents\TA 36\App\AutomaEye\projects\SH1160\outputs\2026-07-14\302-0453.jpg","302-0453.jpg")</f>
      </c>
      <c r="C7" t="inlineStr">
        <is>
          <t xml:space="preserve">NG</t>
        </is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632</v>
      </c>
    </row>
    <row r="8">
      <c r="A8" t="inlineStr">
        <is>
          <t xml:space="preserve">303-0454</t>
        </is>
      </c>
      <c r="B8" t="str">
        <f>HYPERLINK("C:\Users\Paul\Documents\TA 36\App\AutomaEye\projects\SH1160\outputs\2026-07-14\303-0454.jpg","303-0454.jpg")</f>
      </c>
      <c r="C8" t="inlineStr">
        <is>
          <t xml:space="preserve">NG</t>
        </is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634</v>
      </c>
    </row>
    <row r="9">
      <c r="A9" t="inlineStr">
        <is>
          <t xml:space="preserve">304-0454</t>
        </is>
      </c>
      <c r="B9" t="str">
        <f>HYPERLINK("C:\Users\Paul\Documents\TA 36\App\AutomaEye\projects\SH1160\outputs\2026-07-14\304-0454.jpg","304-0454.jpg")</f>
      </c>
      <c r="C9" t="inlineStr">
        <is>
          <t xml:space="preserve">NG</t>
        </is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>
        <v>609</v>
      </c>
    </row>
    <row r="10">
      <c r="A10" t="inlineStr">
        <is>
          <t xml:space="preserve">305-0454</t>
        </is>
      </c>
      <c r="B10" t="str">
        <f>HYPERLINK("C:\Users\Paul\Documents\TA 36\App\AutomaEye\projects\SH1160\outputs\2026-07-14\305-0454.jpg","305-0454.jpg")</f>
      </c>
      <c r="C10" t="inlineStr">
        <is>
          <t xml:space="preserve">NG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>
        <v>658</v>
      </c>
    </row>
    <row r="11">
      <c r="A11" t="inlineStr">
        <is>
          <t xml:space="preserve">306-0454</t>
        </is>
      </c>
      <c r="B11" t="str">
        <f>HYPERLINK("C:\Users\Paul\Documents\TA 36\App\AutomaEye\projects\SH1160\outputs\2026-07-14\306-0454.jpg","306-0454.jpg")</f>
      </c>
      <c r="C11" t="inlineStr">
        <is>
          <t xml:space="preserve">NG</t>
        </is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>
        <v>635</v>
      </c>
    </row>
    <row r="12">
      <c r="A12" t="inlineStr">
        <is>
          <t xml:space="preserve">307-0454</t>
        </is>
      </c>
      <c r="B12" t="str">
        <f>HYPERLINK("C:\Users\Paul\Documents\TA 36\App\AutomaEye\projects\SH1160\outputs\2026-07-14\307-0454.jpg","307-0454.jpg")</f>
      </c>
      <c r="C12" t="inlineStr">
        <is>
          <t xml:space="preserve">NG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>
        <v>652</v>
      </c>
    </row>
    <row r="13">
      <c r="A13" t="inlineStr">
        <is>
          <t xml:space="preserve">308-0455</t>
        </is>
      </c>
      <c r="B13" t="str">
        <f>HYPERLINK("C:\Users\Paul\Documents\TA 36\App\AutomaEye\projects\SH1160\outputs\2026-07-14\308-0455.jpg","308-0455.jpg")</f>
      </c>
      <c r="C13" t="inlineStr">
        <is>
          <t xml:space="preserve">NG</t>
        </is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>
        <v>608</v>
      </c>
    </row>
    <row r="14">
      <c r="A14" t="inlineStr">
        <is>
          <t xml:space="preserve">313-0456</t>
        </is>
      </c>
      <c r="B14" t="str">
        <f>HYPERLINK("C:\Users\Paul\Documents\TA 36\App\AutomaEye\projects\SH1160\outputs\2026-07-14\313-0456.jpg","313-0456.jpg")</f>
      </c>
      <c r="C14" t="inlineStr">
        <is>
          <t xml:space="preserve">NG</t>
        </is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>
        <v>651</v>
      </c>
    </row>
    <row r="15">
      <c r="A15" t="inlineStr">
        <is>
          <t xml:space="preserve">314-0456</t>
        </is>
      </c>
      <c r="B15" t="str">
        <f>HYPERLINK("C:\Users\Paul\Documents\TA 36\App\AutomaEye\projects\SH1160\outputs\2026-07-14\314-0456.jpg","314-0456.jpg")</f>
      </c>
      <c r="C15" t="inlineStr">
        <is>
          <t xml:space="preserve">NG</t>
        </is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2.76</v>
      </c>
      <c r="U15">
        <v>2.99</v>
      </c>
      <c r="V15">
        <v>2.95</v>
      </c>
      <c r="W15"/>
      <c r="X15">
        <v>3.14</v>
      </c>
      <c r="Y15">
        <v>2.96</v>
      </c>
      <c r="Z15">
        <v>666</v>
      </c>
    </row>
    <row r="16">
      <c r="A16" t="inlineStr">
        <is>
          <t xml:space="preserve">315-0456</t>
        </is>
      </c>
      <c r="B16" t="str">
        <f>HYPERLINK("C:\Users\Paul\Documents\TA 36\App\AutomaEye\projects\SH1160\outputs\2026-07-14\315-0456.jpg","315-0456.jpg")</f>
      </c>
      <c r="C16" t="inlineStr">
        <is>
          <t xml:space="preserve">NG</t>
        </is>
      </c>
      <c r="D16">
        <v>13.31</v>
      </c>
      <c r="E16">
        <v>8.6</v>
      </c>
      <c r="F16"/>
      <c r="G16"/>
      <c r="H16"/>
      <c r="I16"/>
      <c r="J16"/>
      <c r="K16"/>
      <c r="L16"/>
      <c r="M16"/>
      <c r="N16"/>
      <c r="O16"/>
      <c r="P16"/>
      <c r="Q16"/>
      <c r="R16">
        <v>11.3</v>
      </c>
      <c r="S16">
        <v>8.04</v>
      </c>
      <c r="T16">
        <v>2.89</v>
      </c>
      <c r="U16"/>
      <c r="V16"/>
      <c r="W16"/>
      <c r="X16">
        <v>2.89</v>
      </c>
      <c r="Y16">
        <v>2.94</v>
      </c>
      <c r="Z16">
        <v>714</v>
      </c>
    </row>
    <row r="17">
      <c r="A17" t="inlineStr">
        <is>
          <t xml:space="preserve">316-0456</t>
        </is>
      </c>
      <c r="B17" t="str">
        <f>HYPERLINK("C:\Users\Paul\Documents\TA 36\App\AutomaEye\projects\SH1160\outputs\2026-07-14\316-0456.jpg","316-0456.jpg")</f>
      </c>
      <c r="C17" t="inlineStr">
        <is>
          <t xml:space="preserve">NG</t>
        </is>
      </c>
      <c r="D17">
        <v>16.21</v>
      </c>
      <c r="E17">
        <v>8.6</v>
      </c>
      <c r="F17"/>
      <c r="G17"/>
      <c r="H17"/>
      <c r="I17"/>
      <c r="J17"/>
      <c r="K17"/>
      <c r="L17"/>
      <c r="M17"/>
      <c r="N17"/>
      <c r="O17"/>
      <c r="P17"/>
      <c r="Q17"/>
      <c r="R17">
        <v>14.04</v>
      </c>
      <c r="S17">
        <v>7.52</v>
      </c>
      <c r="T17">
        <v>2.75</v>
      </c>
      <c r="U17"/>
      <c r="V17"/>
      <c r="W17"/>
      <c r="X17"/>
      <c r="Y17">
        <v>2.89</v>
      </c>
      <c r="Z17">
        <v>661</v>
      </c>
    </row>
    <row r="18">
      <c r="A18" t="inlineStr">
        <is>
          <t xml:space="preserve">317-0458</t>
        </is>
      </c>
      <c r="B18" t="str">
        <f>HYPERLINK("C:\Users\Paul\Documents\TA 36\App\AutomaEye\projects\SH1160\outputs\2026-07-14\317-0458.jpg","317-0458.jpg")</f>
      </c>
      <c r="C18" t="inlineStr">
        <is>
          <t xml:space="preserve">NG</t>
        </is>
      </c>
      <c r="D18">
        <v>14.76</v>
      </c>
      <c r="E18">
        <v>6.79</v>
      </c>
      <c r="F18"/>
      <c r="G18"/>
      <c r="H18">
        <v>12.23</v>
      </c>
      <c r="I18">
        <v>3.44</v>
      </c>
      <c r="J18"/>
      <c r="K18"/>
      <c r="L18"/>
      <c r="M18"/>
      <c r="N18"/>
      <c r="O18"/>
      <c r="P18"/>
      <c r="Q18"/>
      <c r="R18">
        <v>15.85</v>
      </c>
      <c r="S18">
        <v>8.33</v>
      </c>
      <c r="T18">
        <v>2.89</v>
      </c>
      <c r="U18">
        <v>3.15</v>
      </c>
      <c r="V18">
        <v>3.15</v>
      </c>
      <c r="W18">
        <v>3.5</v>
      </c>
      <c r="X18">
        <v>3.02</v>
      </c>
      <c r="Y18">
        <v>2.83</v>
      </c>
      <c r="Z18">
        <v>850</v>
      </c>
    </row>
    <row r="19">
      <c r="A19" t="inlineStr">
        <is>
          <t xml:space="preserve">318-0459</t>
        </is>
      </c>
      <c r="B19" t="str">
        <f>HYPERLINK("C:\Users\Paul\Documents\TA 36\App\AutomaEye\projects\SH1160\outputs\2026-07-14\318-0459.jpg","318-0459.jpg")</f>
      </c>
      <c r="C19" t="inlineStr">
        <is>
          <t xml:space="preserve">NG</t>
        </is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760</v>
      </c>
    </row>
    <row r="20">
      <c r="A20" t="inlineStr">
        <is>
          <t xml:space="preserve">319-0459</t>
        </is>
      </c>
      <c r="B20" t="str">
        <f>HYPERLINK("C:\Users\Paul\Documents\TA 36\App\AutomaEye\projects\SH1160\outputs\2026-07-14\319-0459.jpg","319-0459.jpg")</f>
      </c>
      <c r="C20" t="inlineStr">
        <is>
          <t xml:space="preserve">NG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>
        <v>793</v>
      </c>
    </row>
    <row r="21">
      <c r="A21" t="inlineStr">
        <is>
          <t xml:space="preserve">320-0459</t>
        </is>
      </c>
      <c r="B21" t="str">
        <f>HYPERLINK("C:\Users\Paul\Documents\TA 36\App\AutomaEye\projects\SH1160\outputs\2026-07-14\320-0459.jpg","320-0459.jpg")</f>
      </c>
      <c r="C21" t="inlineStr">
        <is>
          <t xml:space="preserve">NG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>
        <v>659</v>
      </c>
    </row>
    <row r="22">
      <c r="A22" t="inlineStr">
        <is>
          <t xml:space="preserve">322-0500</t>
        </is>
      </c>
      <c r="B22" t="str">
        <f>HYPERLINK("C:\Users\Paul\Documents\TA 36\App\AutomaEye\projects\SH1160\outputs\2026-07-14\322-0500.jpg","322-0500.jpg")</f>
      </c>
      <c r="C22" t="inlineStr">
        <is>
          <t xml:space="preserve">NG</t>
        </is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>
        <v>678</v>
      </c>
    </row>
    <row r="23">
      <c r="A23" t="inlineStr">
        <is>
          <t xml:space="preserve">323-0500</t>
        </is>
      </c>
      <c r="B23" t="str">
        <f>HYPERLINK("C:\Users\Paul\Documents\TA 36\App\AutomaEye\projects\SH1160\outputs\2026-07-14\323-0500.jpg","323-0500.jpg")</f>
      </c>
      <c r="C23" t="inlineStr">
        <is>
          <t xml:space="preserve">NG</t>
        </is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>
        <v>847</v>
      </c>
    </row>
    <row r="24">
      <c r="A24" t="inlineStr">
        <is>
          <t xml:space="preserve">324-0500</t>
        </is>
      </c>
      <c r="B24" t="str">
        <f>HYPERLINK("C:\Users\Paul\Documents\TA 36\App\AutomaEye\projects\SH1160\outputs\2026-07-14\324-0500.jpg","324-0500.jpg")</f>
      </c>
      <c r="C24" t="inlineStr">
        <is>
          <t xml:space="preserve">NG</t>
        </is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666</v>
      </c>
    </row>
    <row r="25">
      <c r="A25" t="inlineStr">
        <is>
          <t xml:space="preserve">325-0500</t>
        </is>
      </c>
      <c r="B25" t="str">
        <f>HYPERLINK("C:\Users\Paul\Documents\TA 36\App\AutomaEye\projects\SH1160\outputs\2026-07-14\325-0500.jpg","325-0500.jpg")</f>
      </c>
      <c r="C25" t="inlineStr">
        <is>
          <t xml:space="preserve">NG</t>
        </is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641</v>
      </c>
    </row>
    <row r="26">
      <c r="A26" t="inlineStr">
        <is>
          <t xml:space="preserve">329-0501</t>
        </is>
      </c>
      <c r="B26" t="str">
        <f>HYPERLINK("C:\Users\Paul\Documents\TA 36\App\AutomaEye\projects\SH1160\outputs\2026-07-14\329-0501.jpg","329-0501.jpg")</f>
      </c>
      <c r="C26" t="inlineStr">
        <is>
          <t xml:space="preserve">NG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674</v>
      </c>
    </row>
    <row r="27">
      <c r="A27" t="inlineStr">
        <is>
          <t xml:space="preserve">330-0501</t>
        </is>
      </c>
      <c r="B27" t="str">
        <f>HYPERLINK("C:\Users\Paul\Documents\TA 36\App\AutomaEye\projects\SH1160\outputs\2026-07-14\330-0501.jpg","330-0501.jpg")</f>
      </c>
      <c r="C27" t="inlineStr">
        <is>
          <t xml:space="preserve">NG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>
        <v>663</v>
      </c>
    </row>
    <row r="28">
      <c r="A28" t="inlineStr">
        <is>
          <t xml:space="preserve">332-0501</t>
        </is>
      </c>
      <c r="B28" t="str">
        <f>HYPERLINK("C:\Users\Paul\Documents\TA 36\App\AutomaEye\projects\SH1160\outputs\2026-07-14\332-0501.jpg","332-0501.jpg")</f>
      </c>
      <c r="C28" t="inlineStr">
        <is>
          <t xml:space="preserve">NG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>
        <v>661</v>
      </c>
    </row>
  </sheetData>
</worksheet>
</file>